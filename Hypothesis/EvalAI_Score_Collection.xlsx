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25Mar\Hypothesis\"/>
    </mc:Choice>
  </mc:AlternateContent>
  <xr:revisionPtr revIDLastSave="0" documentId="13_ncr:1_{EC41CBC2-5FB2-49D6-91D3-B25A26EF01A0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Score Entry" sheetId="1" r:id="rId1"/>
    <sheet name="Statistics Summary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3" l="1"/>
  <c r="F10" i="2"/>
  <c r="E10" i="2"/>
  <c r="D10" i="2"/>
  <c r="C10" i="2"/>
  <c r="F9" i="2"/>
  <c r="E9" i="2"/>
  <c r="D9" i="2"/>
  <c r="C9" i="2"/>
  <c r="F8" i="2"/>
  <c r="E8" i="2"/>
  <c r="D8" i="2"/>
  <c r="C8" i="2"/>
  <c r="F7" i="2"/>
  <c r="E7" i="2"/>
  <c r="D7" i="2"/>
  <c r="C7" i="2"/>
  <c r="F6" i="2"/>
  <c r="E6" i="2"/>
  <c r="D6" i="2"/>
  <c r="C6" i="2"/>
  <c r="G63" i="1"/>
  <c r="F63" i="1"/>
  <c r="G62" i="1"/>
  <c r="F62" i="1"/>
  <c r="G61" i="1"/>
  <c r="F61" i="1"/>
  <c r="G60" i="1"/>
  <c r="F60" i="1"/>
  <c r="G59" i="1"/>
  <c r="F59" i="1"/>
  <c r="G57" i="1"/>
  <c r="F57" i="1"/>
  <c r="G56" i="1"/>
  <c r="F56" i="1"/>
  <c r="G55" i="1"/>
  <c r="F55" i="1"/>
  <c r="G54" i="1"/>
  <c r="F54" i="1"/>
  <c r="G53" i="1"/>
  <c r="F53" i="1"/>
  <c r="G51" i="1"/>
  <c r="F51" i="1"/>
  <c r="G50" i="1"/>
  <c r="F50" i="1"/>
  <c r="G49" i="1"/>
  <c r="F49" i="1"/>
  <c r="G48" i="1"/>
  <c r="F48" i="1"/>
  <c r="G47" i="1"/>
  <c r="F47" i="1"/>
  <c r="G45" i="1"/>
  <c r="F45" i="1"/>
  <c r="G44" i="1"/>
  <c r="F44" i="1"/>
  <c r="G43" i="1"/>
  <c r="F43" i="1"/>
  <c r="G42" i="1"/>
  <c r="F42" i="1"/>
  <c r="G41" i="1"/>
  <c r="F41" i="1"/>
  <c r="G39" i="1"/>
  <c r="F39" i="1"/>
  <c r="G38" i="1"/>
  <c r="F38" i="1"/>
  <c r="G37" i="1"/>
  <c r="F37" i="1"/>
  <c r="G36" i="1"/>
  <c r="F36" i="1"/>
  <c r="G35" i="1"/>
  <c r="F35" i="1"/>
  <c r="G33" i="1"/>
  <c r="F33" i="1"/>
  <c r="G32" i="1"/>
  <c r="F32" i="1"/>
  <c r="G31" i="1"/>
  <c r="F31" i="1"/>
  <c r="G30" i="1"/>
  <c r="F30" i="1"/>
  <c r="G29" i="1"/>
  <c r="F29" i="1"/>
  <c r="G27" i="1"/>
  <c r="F27" i="1"/>
  <c r="G26" i="1"/>
  <c r="F26" i="1"/>
  <c r="G25" i="1"/>
  <c r="F25" i="1"/>
  <c r="G24" i="1"/>
  <c r="F24" i="1"/>
  <c r="G23" i="1"/>
  <c r="F23" i="1"/>
  <c r="G21" i="1"/>
  <c r="F21" i="1"/>
  <c r="G20" i="1"/>
  <c r="F20" i="1"/>
  <c r="G19" i="1"/>
  <c r="F19" i="1"/>
  <c r="G18" i="1"/>
  <c r="F18" i="1"/>
  <c r="G17" i="1"/>
  <c r="F17" i="1"/>
  <c r="G15" i="1"/>
  <c r="F15" i="1"/>
  <c r="G14" i="1"/>
  <c r="F14" i="1"/>
  <c r="G13" i="1"/>
  <c r="F13" i="1"/>
  <c r="G12" i="1"/>
  <c r="F12" i="1"/>
  <c r="G11" i="1"/>
  <c r="F11" i="1"/>
  <c r="G9" i="1"/>
  <c r="F9" i="1"/>
  <c r="G8" i="1"/>
  <c r="F8" i="1"/>
  <c r="G7" i="1"/>
  <c r="F7" i="1"/>
  <c r="G6" i="1"/>
  <c r="F6" i="1"/>
  <c r="G5" i="1"/>
  <c r="F5" i="1"/>
</calcChain>
</file>

<file path=xl/sharedStrings.xml><?xml version="1.0" encoding="utf-8"?>
<sst xmlns="http://schemas.openxmlformats.org/spreadsheetml/2006/main" count="132" uniqueCount="80">
  <si>
    <t>EvalAI — Hypothesis Testing Score Collection Sheet</t>
  </si>
  <si>
    <t>Fill in the AI scores from EvalAI for each answer. Yellow cells = enter your scores.</t>
  </si>
  <si>
    <t>#</t>
  </si>
  <si>
    <t>Question</t>
  </si>
  <si>
    <t>Scenario</t>
  </si>
  <si>
    <t>Expected Score</t>
  </si>
  <si>
    <t>AI Score
(Fill Here)</t>
  </si>
  <si>
    <t>Difference</t>
  </si>
  <si>
    <t>Within Range?</t>
  </si>
  <si>
    <t>Similarity %</t>
  </si>
  <si>
    <t>Entailment %</t>
  </si>
  <si>
    <t>Q1</t>
  </si>
  <si>
    <t>Why are String objects immutable in Java? Discuss with at least one advantage.</t>
  </si>
  <si>
    <t>Fully Correct</t>
  </si>
  <si>
    <t>Above Average</t>
  </si>
  <si>
    <t>Average</t>
  </si>
  <si>
    <t>Below Average</t>
  </si>
  <si>
    <t>Fully Wrong</t>
  </si>
  <si>
    <t>Q2</t>
  </si>
  <si>
    <t>Discuss the difference between HashMap and ConcurrentHashMap in Java.</t>
  </si>
  <si>
    <t>Q3</t>
  </si>
  <si>
    <t>Q4</t>
  </si>
  <si>
    <t>Q5</t>
  </si>
  <si>
    <t>Q6</t>
  </si>
  <si>
    <t>Q7</t>
  </si>
  <si>
    <t>Q8</t>
  </si>
  <si>
    <t>Q9</t>
  </si>
  <si>
    <t>Q10</t>
  </si>
  <si>
    <t>EvalAI — Statistical Summary (Auto-Calculated)</t>
  </si>
  <si>
    <t>Scores auto-pull from Score Entry sheet. Fill Column E there first.</t>
  </si>
  <si>
    <t>Group Statistics per Scenario</t>
  </si>
  <si>
    <t>Expected
Midpoint</t>
  </si>
  <si>
    <t>Mean
AI Score</t>
  </si>
  <si>
    <t>Std Dev</t>
  </si>
  <si>
    <t>Min</t>
  </si>
  <si>
    <t>Max</t>
  </si>
  <si>
    <t>Within
Range %</t>
  </si>
  <si>
    <t>Hypothesis Testing — ANOVA Results</t>
  </si>
  <si>
    <t>After filling all scores → run hypothesis_test.py to get F-statistic, p-value, and charts</t>
  </si>
  <si>
    <t>H0 (Null Hypothesis)</t>
  </si>
  <si>
    <t>All 5 scenario groups have the same mean score</t>
  </si>
  <si>
    <t>H1 (Alternative Hypothesis)</t>
  </si>
  <si>
    <t>At least one group mean is significantly different</t>
  </si>
  <si>
    <t>Statistical Test</t>
  </si>
  <si>
    <t>One-Way ANOVA with Tukey HSD Post-Hoc</t>
  </si>
  <si>
    <t>Significance Level (α)</t>
  </si>
  <si>
    <t>0.05</t>
  </si>
  <si>
    <t>Sample Size</t>
  </si>
  <si>
    <t>n = 10 per group, 50 total answers</t>
  </si>
  <si>
    <t>Decision Rule</t>
  </si>
  <si>
    <t>If p-value &lt; 0.05 → REJECT H0 → Model validated!</t>
  </si>
  <si>
    <t>How to use this sheet — Step by Step</t>
  </si>
  <si>
    <t>Step 1</t>
  </si>
  <si>
    <t>Run all 50 answers through EvalAI system (10 questions × 5 scenarios)</t>
  </si>
  <si>
    <t>Step 2</t>
  </si>
  <si>
    <t>Go to 'Score Entry' sheet → fill in AI Score (column E) for each answer</t>
  </si>
  <si>
    <t>Step 3</t>
  </si>
  <si>
    <t>Also fill Similarity % (col H) and Entailment % (col I) if you want extra analysis</t>
  </si>
  <si>
    <t>Step 4</t>
  </si>
  <si>
    <t>Check 'Statistics Summary' sheet — means auto-calculate as you fill scores</t>
  </si>
  <si>
    <t>Step 5</t>
  </si>
  <si>
    <t>Once all 50 scores filled → run: python hypothesis_test.py</t>
  </si>
  <si>
    <t>Step 6</t>
  </si>
  <si>
    <t>Replace scores in hypothesis_test.py with your actual scores from column E</t>
  </si>
  <si>
    <t>Step 7</t>
  </si>
  <si>
    <t>Run the script → get F-statistic, p-value, charts → show to sir!</t>
  </si>
  <si>
    <t>Yellow cells</t>
  </si>
  <si>
    <t>Green cells</t>
  </si>
  <si>
    <t>Blue cells</t>
  </si>
  <si>
    <t>Expected range</t>
  </si>
  <si>
    <t>Fully Correct: 9.0–10.0 | Above Average: 7.0–9.0 | Average: 4.5–7.0</t>
  </si>
  <si>
    <t>Below Average: 2.5–4.5 | Fully Wrong: 0.0–2.5</t>
  </si>
  <si>
    <t>What is Java?</t>
  </si>
  <si>
    <t>What is OOP in Java?</t>
  </si>
  <si>
    <t>What is a Class and Object?</t>
  </si>
  <si>
    <t>What is Inheritance?</t>
  </si>
  <si>
    <t>What is JVM?</t>
  </si>
  <si>
    <t>What is a variable in Java?</t>
  </si>
  <si>
    <t>What is the difference between int and double in Java?</t>
  </si>
  <si>
    <t>What is the use of if-else in Java?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</si>
</sst>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+0.00;\-0.00;0.00"/>
  </numFmts>
  <fonts count="22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4A4A6A"/>
      <name val="Calibri"/>
    </font>
    <font>
      <b/>
      <sz val="10"/>
      <color rgb="FFFFFFFF"/>
      <name val="Calibri"/>
    </font>
    <font>
      <b/>
      <sz val="10"/>
      <color rgb="FF1E3A5F"/>
      <name val="Calibri"/>
    </font>
    <font>
      <sz val="9"/>
      <color rgb="FF1A1A2E"/>
      <name val="Calibri"/>
    </font>
    <font>
      <b/>
      <sz val="9"/>
      <color rgb="FF16A34A"/>
      <name val="Calibri"/>
    </font>
    <font>
      <b/>
      <sz val="11"/>
      <color rgb="FF1E3A5F"/>
      <name val="Calibri"/>
    </font>
    <font>
      <sz val="10"/>
      <color rgb="FF1A1A2E"/>
      <name val="Calibri"/>
    </font>
    <font>
      <b/>
      <sz val="9"/>
      <color rgb="FF1D4ED8"/>
      <name val="Calibri"/>
    </font>
    <font>
      <b/>
      <sz val="9"/>
      <color rgb="FF92400E"/>
      <name val="Calibri"/>
    </font>
    <font>
      <b/>
      <sz val="9"/>
      <color rgb="FF9A3412"/>
      <name val="Calibri"/>
    </font>
    <font>
      <b/>
      <sz val="9"/>
      <color rgb="FF991B1B"/>
      <name val="Calibri"/>
    </font>
    <font>
      <b/>
      <sz val="14"/>
      <color rgb="FFFFFFFF"/>
      <name val="Calibri"/>
    </font>
    <font>
      <i/>
      <sz val="9"/>
      <color rgb="FF4A4A6A"/>
      <name val="Calibri"/>
    </font>
    <font>
      <b/>
      <sz val="9"/>
      <color rgb="FFFFFFFF"/>
      <name val="Calibri"/>
    </font>
    <font>
      <b/>
      <sz val="10"/>
      <color rgb="FF16A34A"/>
      <name val="Calibri"/>
    </font>
    <font>
      <b/>
      <sz val="10"/>
      <color rgb="FF1D4ED8"/>
      <name val="Calibri"/>
    </font>
    <font>
      <b/>
      <sz val="10"/>
      <color rgb="FF92400E"/>
      <name val="Calibri"/>
    </font>
    <font>
      <b/>
      <sz val="10"/>
      <color rgb="FF9A3412"/>
      <name val="Calibri"/>
    </font>
    <font>
      <b/>
      <sz val="10"/>
      <color rgb="FF991B1B"/>
      <name val="Calibri"/>
    </font>
    <font>
      <b/>
      <sz val="9"/>
      <color rgb="FF1E3A5F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EF2FF"/>
      </patternFill>
    </fill>
    <fill>
      <patternFill patternType="solid">
        <fgColor rgb="FFF8F9FC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FFFFF"/>
      </patternFill>
    </fill>
    <fill>
      <patternFill patternType="solid">
        <fgColor rgb="FFF0FDF4"/>
      </patternFill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FEDD5"/>
      </patternFill>
    </fill>
    <fill>
      <patternFill patternType="solid">
        <fgColor rgb="FFFEE2E2"/>
      </patternFill>
    </fill>
    <fill>
      <patternFill patternType="solid">
        <fgColor rgb="FFE2E8F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2" fontId="7" fillId="6" borderId="2" xfId="0" applyNumberFormat="1" applyFont="1" applyFill="1" applyBorder="1" applyAlignment="1">
      <alignment horizontal="center" vertical="center"/>
    </xf>
    <xf numFmtId="165" fontId="8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9" fontId="8" fillId="8" borderId="1" xfId="0" applyNumberFormat="1" applyFont="1" applyFill="1" applyBorder="1" applyAlignment="1">
      <alignment horizontal="center" vertical="center"/>
    </xf>
    <xf numFmtId="9" fontId="8" fillId="9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0" fillId="14" borderId="0" xfId="0" applyFill="1"/>
    <xf numFmtId="0" fontId="15" fillId="2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2" fontId="8" fillId="7" borderId="1" xfId="0" applyNumberFormat="1" applyFont="1" applyFill="1" applyBorder="1" applyAlignment="1">
      <alignment horizontal="center" vertical="center"/>
    </xf>
    <xf numFmtId="9" fontId="16" fillId="7" borderId="1" xfId="0" applyNumberFormat="1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showGridLines="0" topLeftCell="D1" workbookViewId="0">
      <selection activeCell="J62" sqref="J62"/>
    </sheetView>
  </sheetViews>
  <sheetFormatPr defaultRowHeight="14.4" x14ac:dyDescent="0.3"/>
  <cols>
    <col min="1" max="1" width="5" customWidth="1"/>
    <col min="2" max="2" width="42" customWidth="1"/>
    <col min="3" max="3" width="18" customWidth="1"/>
    <col min="4" max="5" width="16" customWidth="1"/>
    <col min="6" max="9" width="14" customWidth="1"/>
  </cols>
  <sheetData>
    <row r="1" spans="1:9" ht="36" customHeight="1" x14ac:dyDescent="0.3">
      <c r="A1" s="27" t="s">
        <v>0</v>
      </c>
      <c r="B1" s="28"/>
      <c r="C1" s="28"/>
      <c r="D1" s="28"/>
      <c r="E1" s="28"/>
      <c r="F1" s="28"/>
      <c r="G1" s="28"/>
      <c r="H1" s="28"/>
      <c r="I1" s="28"/>
    </row>
    <row r="2" spans="1:9" ht="19.95" customHeight="1" x14ac:dyDescent="0.3">
      <c r="A2" s="31" t="s">
        <v>1</v>
      </c>
      <c r="B2" s="28"/>
      <c r="C2" s="28"/>
      <c r="D2" s="28"/>
      <c r="E2" s="28"/>
      <c r="F2" s="28"/>
      <c r="G2" s="28"/>
      <c r="H2" s="28"/>
      <c r="I2" s="28"/>
    </row>
    <row r="3" spans="1:9" ht="7.95" customHeight="1" x14ac:dyDescent="0.3"/>
    <row r="4" spans="1:9" ht="36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2.05" customHeight="1" x14ac:dyDescent="0.3">
      <c r="A5" s="29" t="s">
        <v>11</v>
      </c>
      <c r="B5" s="30" t="s">
        <v>12</v>
      </c>
      <c r="C5" s="2" t="s">
        <v>13</v>
      </c>
      <c r="D5" s="3">
        <v>9.5</v>
      </c>
      <c r="E5" s="4">
        <v>8.0500000000000007</v>
      </c>
      <c r="F5" s="5">
        <f>IF(E5="","",E5-D5)</f>
        <v>-1.4499999999999993</v>
      </c>
      <c r="G5" s="6" t="str">
        <f>IF(E5="","",IF(AND(E5&gt;=9,E5&lt;=10),"✓ Yes","✗ No"))</f>
        <v>✗ No</v>
      </c>
      <c r="H5" s="7">
        <v>0.9</v>
      </c>
      <c r="I5" s="8">
        <v>1</v>
      </c>
    </row>
    <row r="6" spans="1:9" ht="22.05" customHeight="1" x14ac:dyDescent="0.3">
      <c r="A6" s="28"/>
      <c r="B6" s="28"/>
      <c r="C6" s="9" t="s">
        <v>14</v>
      </c>
      <c r="D6" s="3">
        <v>7.5</v>
      </c>
      <c r="E6" s="4">
        <v>7.1</v>
      </c>
      <c r="F6" s="5">
        <f>IF(E6="","",E6-D6)</f>
        <v>-0.40000000000000036</v>
      </c>
      <c r="G6" s="6" t="str">
        <f>IF(E6="","",IF(AND(E6&gt;=7,E6&lt;=9),"✓ Yes","✗ No"))</f>
        <v>✓ Yes</v>
      </c>
      <c r="H6" s="7">
        <v>0.78</v>
      </c>
      <c r="I6" s="8">
        <v>1</v>
      </c>
    </row>
    <row r="7" spans="1:9" ht="22.05" customHeight="1" x14ac:dyDescent="0.3">
      <c r="A7" s="28"/>
      <c r="B7" s="28"/>
      <c r="C7" s="10" t="s">
        <v>15</v>
      </c>
      <c r="D7" s="3">
        <v>5.5</v>
      </c>
      <c r="E7" s="4">
        <v>5.33</v>
      </c>
      <c r="F7" s="5">
        <f>IF(E7="","",E7-D7)</f>
        <v>-0.16999999999999993</v>
      </c>
      <c r="G7" s="6" t="str">
        <f>IF(E7="","",IF(AND(E7&gt;=4.5,E7&lt;=7),"✓ Yes","✗ No"))</f>
        <v>✓ Yes</v>
      </c>
      <c r="H7" s="7">
        <v>0.68</v>
      </c>
      <c r="I7" s="8">
        <v>0.96</v>
      </c>
    </row>
    <row r="8" spans="1:9" ht="22.05" customHeight="1" x14ac:dyDescent="0.3">
      <c r="A8" s="28"/>
      <c r="B8" s="28"/>
      <c r="C8" s="11" t="s">
        <v>16</v>
      </c>
      <c r="D8" s="3">
        <v>3.5</v>
      </c>
      <c r="E8" s="4">
        <v>4.3099999999999996</v>
      </c>
      <c r="F8" s="5">
        <f>IF(E8="","",E8-D8)</f>
        <v>0.80999999999999961</v>
      </c>
      <c r="G8" s="6" t="str">
        <f>IF(E8="","",IF(AND(E8&gt;=2.5,E8&lt;=4.5),"✓ Yes","✗ No"))</f>
        <v>✓ Yes</v>
      </c>
      <c r="H8" s="7">
        <v>0.47</v>
      </c>
      <c r="I8" s="8">
        <v>0.99</v>
      </c>
    </row>
    <row r="9" spans="1:9" ht="22.05" customHeight="1" x14ac:dyDescent="0.3">
      <c r="A9" s="28"/>
      <c r="B9" s="28"/>
      <c r="C9" s="12" t="s">
        <v>17</v>
      </c>
      <c r="D9" s="3">
        <v>1.5</v>
      </c>
      <c r="E9" s="4">
        <v>3.22</v>
      </c>
      <c r="F9" s="5">
        <f>IF(E9="","",E9-D9)</f>
        <v>1.7200000000000002</v>
      </c>
      <c r="G9" s="6" t="str">
        <f>IF(E9="","",IF(AND(E9&gt;=0,E9&lt;=2.5),"✓ Yes","✗ No"))</f>
        <v>✗ No</v>
      </c>
      <c r="H9" s="7">
        <v>0.76</v>
      </c>
      <c r="I9" s="8">
        <v>0</v>
      </c>
    </row>
    <row r="10" spans="1:9" ht="6" customHeight="1" x14ac:dyDescent="0.3">
      <c r="A10" s="13"/>
      <c r="B10" s="13"/>
      <c r="C10" s="13"/>
      <c r="D10" s="13"/>
      <c r="E10" s="13"/>
      <c r="F10" s="13"/>
      <c r="G10" s="13"/>
      <c r="H10" s="13"/>
      <c r="I10" s="13"/>
    </row>
    <row r="11" spans="1:9" ht="22.05" customHeight="1" x14ac:dyDescent="0.3">
      <c r="A11" s="29" t="s">
        <v>18</v>
      </c>
      <c r="B11" s="30" t="s">
        <v>19</v>
      </c>
      <c r="C11" s="2" t="s">
        <v>13</v>
      </c>
      <c r="D11" s="3">
        <v>9.5</v>
      </c>
      <c r="E11" s="4">
        <v>7.52</v>
      </c>
      <c r="F11" s="5">
        <f>IF(E11="","",E11-D11)</f>
        <v>-1.9800000000000004</v>
      </c>
      <c r="G11" s="6" t="str">
        <f>IF(E11="","",IF(AND(E11&gt;=9,E11&lt;=10),"✓ Yes","✗ No"))</f>
        <v>✗ No</v>
      </c>
      <c r="H11" s="7">
        <v>0.94</v>
      </c>
      <c r="I11" s="8">
        <v>1</v>
      </c>
    </row>
    <row r="12" spans="1:9" ht="22.05" customHeight="1" x14ac:dyDescent="0.3">
      <c r="A12" s="28"/>
      <c r="B12" s="28"/>
      <c r="C12" s="9" t="s">
        <v>14</v>
      </c>
      <c r="D12" s="3">
        <v>7.5</v>
      </c>
      <c r="E12" s="4">
        <v>5.99</v>
      </c>
      <c r="F12" s="5">
        <f>IF(E12="","",E12-D12)</f>
        <v>-1.5099999999999998</v>
      </c>
      <c r="G12" s="6" t="str">
        <f>IF(E12="","",IF(AND(E12&gt;=7,E12&lt;=9),"✓ Yes","✗ No"))</f>
        <v>✗ No</v>
      </c>
      <c r="H12" s="7">
        <v>0.95</v>
      </c>
      <c r="I12" s="8">
        <v>0.97</v>
      </c>
    </row>
    <row r="13" spans="1:9" ht="22.05" customHeight="1" x14ac:dyDescent="0.3">
      <c r="A13" s="28"/>
      <c r="B13" s="28"/>
      <c r="C13" s="10" t="s">
        <v>15</v>
      </c>
      <c r="D13" s="3">
        <v>5.5</v>
      </c>
      <c r="E13" s="4">
        <v>7.02</v>
      </c>
      <c r="F13" s="5">
        <f>IF(E13="","",E13-D13)</f>
        <v>1.5199999999999996</v>
      </c>
      <c r="G13" s="6" t="str">
        <f>IF(E13="","",IF(AND(E13&gt;=4.5,E13&lt;=7),"✓ Yes","✗ No"))</f>
        <v>✗ No</v>
      </c>
      <c r="H13" s="7">
        <v>0.93</v>
      </c>
      <c r="I13" s="8">
        <v>0.98</v>
      </c>
    </row>
    <row r="14" spans="1:9" ht="22.05" customHeight="1" x14ac:dyDescent="0.3">
      <c r="A14" s="28"/>
      <c r="B14" s="28"/>
      <c r="C14" s="11" t="s">
        <v>16</v>
      </c>
      <c r="D14" s="3">
        <v>3.5</v>
      </c>
      <c r="E14" s="4">
        <v>3.67</v>
      </c>
      <c r="F14" s="5">
        <f>IF(E14="","",E14-D14)</f>
        <v>0.16999999999999993</v>
      </c>
      <c r="G14" s="6" t="str">
        <f>IF(E14="","",IF(AND(E14&gt;=2.5,E14&lt;=4.5),"✓ Yes","✗ No"))</f>
        <v>✓ Yes</v>
      </c>
      <c r="H14" s="7">
        <v>0.83</v>
      </c>
      <c r="I14" s="8">
        <v>0.01</v>
      </c>
    </row>
    <row r="15" spans="1:9" ht="22.05" customHeight="1" x14ac:dyDescent="0.3">
      <c r="A15" s="28"/>
      <c r="B15" s="28"/>
      <c r="C15" s="12" t="s">
        <v>17</v>
      </c>
      <c r="D15" s="3">
        <v>1.5</v>
      </c>
      <c r="E15" s="4">
        <v>3.66</v>
      </c>
      <c r="F15" s="5">
        <f>IF(E15="","",E15-D15)</f>
        <v>2.16</v>
      </c>
      <c r="G15" s="6" t="str">
        <f>IF(E15="","",IF(AND(E15&gt;=0,E15&lt;=2.5),"✓ Yes","✗ No"))</f>
        <v>✗ No</v>
      </c>
      <c r="H15" s="7">
        <v>0.9</v>
      </c>
      <c r="I15" s="8">
        <v>0</v>
      </c>
    </row>
    <row r="16" spans="1:9" ht="6" customHeight="1" x14ac:dyDescent="0.3">
      <c r="A16" s="13"/>
      <c r="B16" s="13"/>
      <c r="C16" s="13"/>
      <c r="D16" s="13"/>
      <c r="E16" s="13"/>
      <c r="F16" s="13"/>
      <c r="G16" s="13"/>
      <c r="H16" s="13"/>
      <c r="I16" s="13"/>
    </row>
    <row r="17" spans="1:9" ht="22.05" customHeight="1" x14ac:dyDescent="0.3">
      <c r="A17" s="29" t="s">
        <v>20</v>
      </c>
      <c r="B17" s="30" t="s">
        <v>72</v>
      </c>
      <c r="C17" s="2" t="s">
        <v>13</v>
      </c>
      <c r="D17" s="3">
        <v>9.5</v>
      </c>
      <c r="E17" s="4">
        <v>9.52</v>
      </c>
      <c r="F17" s="5">
        <f>IF(E17="","",E17-D17)</f>
        <v>1.9999999999999574E-2</v>
      </c>
      <c r="G17" s="6" t="str">
        <f>IF(E17="","",IF(AND(E17&gt;=9,E17&lt;=10),"✓ Yes","✗ No"))</f>
        <v>✓ Yes</v>
      </c>
      <c r="H17" s="7">
        <v>0.99</v>
      </c>
      <c r="I17" s="8">
        <v>0.99</v>
      </c>
    </row>
    <row r="18" spans="1:9" ht="22.05" customHeight="1" x14ac:dyDescent="0.3">
      <c r="A18" s="28"/>
      <c r="B18" s="28"/>
      <c r="C18" s="9" t="s">
        <v>14</v>
      </c>
      <c r="D18" s="3">
        <v>7.5</v>
      </c>
      <c r="E18" s="4">
        <v>6.81</v>
      </c>
      <c r="F18" s="5">
        <f>IF(E18="","",E18-D18)</f>
        <v>-0.69000000000000039</v>
      </c>
      <c r="G18" s="6" t="str">
        <f>IF(E18="","",IF(AND(E18&gt;=7,E18&lt;=9),"✓ Yes","✗ No"))</f>
        <v>✗ No</v>
      </c>
      <c r="H18" s="7">
        <v>0.9</v>
      </c>
      <c r="I18" s="8">
        <v>0.99</v>
      </c>
    </row>
    <row r="19" spans="1:9" ht="22.05" customHeight="1" x14ac:dyDescent="0.3">
      <c r="A19" s="28"/>
      <c r="B19" s="28"/>
      <c r="C19" s="10" t="s">
        <v>15</v>
      </c>
      <c r="D19" s="3">
        <v>5.5</v>
      </c>
      <c r="E19" s="4">
        <v>5.4</v>
      </c>
      <c r="F19" s="5">
        <f>IF(E19="","",E19-D19)</f>
        <v>-9.9999999999999645E-2</v>
      </c>
      <c r="G19" s="6" t="str">
        <f>IF(E19="","",IF(AND(E19&gt;=4.5,E19&lt;=7),"✓ Yes","✗ No"))</f>
        <v>✓ Yes</v>
      </c>
      <c r="H19" s="7">
        <v>0.71</v>
      </c>
      <c r="I19" s="8">
        <v>0.75</v>
      </c>
    </row>
    <row r="20" spans="1:9" ht="22.05" customHeight="1" x14ac:dyDescent="0.3">
      <c r="A20" s="28"/>
      <c r="B20" s="28"/>
      <c r="C20" s="11" t="s">
        <v>16</v>
      </c>
      <c r="D20" s="3">
        <v>3.5</v>
      </c>
      <c r="E20" s="4">
        <v>3.05</v>
      </c>
      <c r="F20" s="5">
        <f>IF(E20="","",E20-D20)</f>
        <v>-0.45000000000000018</v>
      </c>
      <c r="G20" s="6" t="str">
        <f>IF(E20="","",IF(AND(E20&gt;=2.5,E20&lt;=4.5),"✓ Yes","✗ No"))</f>
        <v>✓ Yes</v>
      </c>
      <c r="H20" s="7">
        <v>0.64</v>
      </c>
      <c r="I20" s="8">
        <v>0.02</v>
      </c>
    </row>
    <row r="21" spans="1:9" ht="22.05" customHeight="1" x14ac:dyDescent="0.3">
      <c r="A21" s="28"/>
      <c r="B21" s="28"/>
      <c r="C21" s="12" t="s">
        <v>17</v>
      </c>
      <c r="D21" s="3">
        <v>1.5</v>
      </c>
      <c r="E21" s="4">
        <v>3.12</v>
      </c>
      <c r="F21" s="5">
        <f>IF(E21="","",E21-D21)</f>
        <v>1.62</v>
      </c>
      <c r="G21" s="6" t="str">
        <f>IF(E21="","",IF(AND(E21&gt;=0,E21&lt;=2.5),"✓ Yes","✗ No"))</f>
        <v>✗ No</v>
      </c>
      <c r="H21" s="7">
        <v>0.68</v>
      </c>
      <c r="I21" s="8">
        <v>0</v>
      </c>
    </row>
    <row r="22" spans="1:9" ht="6" customHeight="1" x14ac:dyDescent="0.3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22.05" customHeight="1" x14ac:dyDescent="0.3">
      <c r="A23" s="29" t="s">
        <v>21</v>
      </c>
      <c r="B23" s="30" t="s">
        <v>73</v>
      </c>
      <c r="C23" s="2" t="s">
        <v>13</v>
      </c>
      <c r="D23" s="3">
        <v>9.5</v>
      </c>
      <c r="E23" s="4">
        <v>8.08</v>
      </c>
      <c r="F23" s="5">
        <f>IF(E23="","",E23-D23)</f>
        <v>-1.42</v>
      </c>
      <c r="G23" s="6" t="str">
        <f>IF(E23="","",IF(AND(E23&gt;=9,E23&lt;=10),"✓ Yes","✗ No"))</f>
        <v>✗ No</v>
      </c>
      <c r="H23" s="7">
        <v>0.99</v>
      </c>
      <c r="I23" s="8">
        <v>1</v>
      </c>
    </row>
    <row r="24" spans="1:9" ht="22.05" customHeight="1" x14ac:dyDescent="0.3">
      <c r="A24" s="28"/>
      <c r="B24" s="28"/>
      <c r="C24" s="9" t="s">
        <v>14</v>
      </c>
      <c r="D24" s="3">
        <v>7.5</v>
      </c>
      <c r="E24" s="4">
        <v>6.97</v>
      </c>
      <c r="F24" s="5">
        <f>IF(E24="","",E24-D24)</f>
        <v>-0.53000000000000025</v>
      </c>
      <c r="G24" s="6" t="str">
        <f>IF(E24="","",IF(AND(E24&gt;=7,E24&lt;=9),"✓ Yes","✗ No"))</f>
        <v>✗ No</v>
      </c>
      <c r="H24" s="7">
        <v>0.93</v>
      </c>
      <c r="I24" s="8">
        <v>1</v>
      </c>
    </row>
    <row r="25" spans="1:9" ht="22.05" customHeight="1" x14ac:dyDescent="0.3">
      <c r="A25" s="28"/>
      <c r="B25" s="28"/>
      <c r="C25" s="10" t="s">
        <v>15</v>
      </c>
      <c r="D25" s="3">
        <v>5.5</v>
      </c>
      <c r="E25" s="4">
        <v>6.58</v>
      </c>
      <c r="F25" s="5">
        <f>IF(E25="","",E25-D25)</f>
        <v>1.08</v>
      </c>
      <c r="G25" s="6" t="str">
        <f>IF(E25="","",IF(AND(E25&gt;=4.5,E25&lt;=7),"✓ Yes","✗ No"))</f>
        <v>✓ Yes</v>
      </c>
      <c r="H25" s="7">
        <v>0.92</v>
      </c>
      <c r="I25" s="8">
        <v>1</v>
      </c>
    </row>
    <row r="26" spans="1:9" ht="22.05" customHeight="1" x14ac:dyDescent="0.3">
      <c r="A26" s="28"/>
      <c r="B26" s="28"/>
      <c r="C26" s="11" t="s">
        <v>16</v>
      </c>
      <c r="D26" s="3">
        <v>3.5</v>
      </c>
      <c r="E26" s="4">
        <v>3.66</v>
      </c>
      <c r="F26" s="5">
        <f>IF(E26="","",E26-D26)</f>
        <v>0.16000000000000014</v>
      </c>
      <c r="G26" s="6" t="str">
        <f>IF(E26="","",IF(AND(E26&gt;=2.5,E26&lt;=4.5),"✓ Yes","✗ No"))</f>
        <v>✓ Yes</v>
      </c>
      <c r="H26" s="7">
        <v>0.78</v>
      </c>
      <c r="I26" s="8">
        <v>0</v>
      </c>
    </row>
    <row r="27" spans="1:9" ht="22.05" customHeight="1" x14ac:dyDescent="0.3">
      <c r="A27" s="28"/>
      <c r="B27" s="28"/>
      <c r="C27" s="12" t="s">
        <v>17</v>
      </c>
      <c r="D27" s="3">
        <v>1.5</v>
      </c>
      <c r="E27" s="4">
        <v>3.39</v>
      </c>
      <c r="F27" s="5">
        <f>IF(E27="","",E27-D27)</f>
        <v>1.8900000000000001</v>
      </c>
      <c r="G27" s="6" t="str">
        <f>IF(E27="","",IF(AND(E27&gt;=0,E27&lt;=2.5),"✓ Yes","✗ No"))</f>
        <v>✗ No</v>
      </c>
      <c r="H27" s="7">
        <v>0.74</v>
      </c>
      <c r="I27" s="8">
        <v>0</v>
      </c>
    </row>
    <row r="28" spans="1:9" ht="6" customHeight="1" x14ac:dyDescent="0.3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22.05" customHeight="1" x14ac:dyDescent="0.3">
      <c r="A29" s="29" t="s">
        <v>22</v>
      </c>
      <c r="B29" s="30" t="s">
        <v>74</v>
      </c>
      <c r="C29" s="2" t="s">
        <v>13</v>
      </c>
      <c r="D29" s="3">
        <v>9.5</v>
      </c>
      <c r="E29" s="4">
        <v>9.0500000000000007</v>
      </c>
      <c r="F29" s="5">
        <f>IF(E29="","",E29-D29)</f>
        <v>-0.44999999999999929</v>
      </c>
      <c r="G29" s="6" t="str">
        <f>IF(E29="","",IF(AND(E29&gt;=9,E29&lt;=10),"✓ Yes","✗ No"))</f>
        <v>✓ Yes</v>
      </c>
      <c r="H29" s="7">
        <v>0.96</v>
      </c>
      <c r="I29" s="8">
        <v>0.99</v>
      </c>
    </row>
    <row r="30" spans="1:9" ht="22.05" customHeight="1" x14ac:dyDescent="0.3">
      <c r="A30" s="28"/>
      <c r="B30" s="28"/>
      <c r="C30" s="9" t="s">
        <v>14</v>
      </c>
      <c r="D30" s="3">
        <v>7.5</v>
      </c>
      <c r="E30" s="4">
        <v>7.9</v>
      </c>
      <c r="F30" s="5">
        <f>IF(E30="","",E30-D30)</f>
        <v>0.40000000000000036</v>
      </c>
      <c r="G30" s="6" t="str">
        <f>IF(E30="","",IF(AND(E30&gt;=7,E30&lt;=9),"✓ Yes","✗ No"))</f>
        <v>✓ Yes</v>
      </c>
      <c r="H30" s="7">
        <v>0.73</v>
      </c>
      <c r="I30" s="8">
        <v>1</v>
      </c>
    </row>
    <row r="31" spans="1:9" ht="22.05" customHeight="1" x14ac:dyDescent="0.3">
      <c r="A31" s="28"/>
      <c r="B31" s="28"/>
      <c r="C31" s="10" t="s">
        <v>15</v>
      </c>
      <c r="D31" s="3">
        <v>5.5</v>
      </c>
      <c r="E31" s="4">
        <v>4.68</v>
      </c>
      <c r="F31" s="5">
        <f>IF(E31="","",E31-D31)</f>
        <v>-0.82000000000000028</v>
      </c>
      <c r="G31" s="6" t="str">
        <f>IF(E31="","",IF(AND(E31&gt;=4.5,E31&lt;=7),"✓ Yes","✗ No"))</f>
        <v>✓ Yes</v>
      </c>
      <c r="H31" s="7">
        <v>0.67</v>
      </c>
      <c r="I31" s="8">
        <v>0</v>
      </c>
    </row>
    <row r="32" spans="1:9" ht="22.05" customHeight="1" x14ac:dyDescent="0.3">
      <c r="A32" s="28"/>
      <c r="B32" s="28"/>
      <c r="C32" s="11" t="s">
        <v>16</v>
      </c>
      <c r="D32" s="3">
        <v>3.5</v>
      </c>
      <c r="E32" s="4">
        <v>6.18</v>
      </c>
      <c r="F32" s="5">
        <f>IF(E32="","",E32-D32)</f>
        <v>2.6799999999999997</v>
      </c>
      <c r="G32" s="6" t="str">
        <f>IF(E32="","",IF(AND(E32&gt;=2.5,E32&lt;=4.5),"✓ Yes","✗ No"))</f>
        <v>✗ No</v>
      </c>
      <c r="H32" s="7">
        <v>0.74</v>
      </c>
      <c r="I32" s="8">
        <v>0.99</v>
      </c>
    </row>
    <row r="33" spans="1:9" ht="22.05" customHeight="1" x14ac:dyDescent="0.3">
      <c r="A33" s="28"/>
      <c r="B33" s="28"/>
      <c r="C33" s="12" t="s">
        <v>17</v>
      </c>
      <c r="D33" s="3">
        <v>1.5</v>
      </c>
      <c r="E33" s="4">
        <v>4.12</v>
      </c>
      <c r="F33" s="5">
        <f>IF(E33="","",E33-D33)</f>
        <v>2.62</v>
      </c>
      <c r="G33" s="6" t="str">
        <f>IF(E33="","",IF(AND(E33&gt;=0,E33&lt;=2.5),"✓ Yes","✗ No"))</f>
        <v>✗ No</v>
      </c>
      <c r="H33" s="7">
        <v>0.67</v>
      </c>
      <c r="I33" s="8">
        <v>0</v>
      </c>
    </row>
    <row r="34" spans="1:9" ht="6" customHeight="1" x14ac:dyDescent="0.3">
      <c r="A34" s="13"/>
      <c r="B34" s="13"/>
      <c r="C34" s="13"/>
      <c r="D34" s="13"/>
      <c r="E34" s="13"/>
      <c r="F34" s="13"/>
      <c r="G34" s="13"/>
      <c r="H34" s="13"/>
      <c r="I34" s="13"/>
    </row>
    <row r="35" spans="1:9" ht="22.05" customHeight="1" x14ac:dyDescent="0.3">
      <c r="A35" s="29" t="s">
        <v>23</v>
      </c>
      <c r="B35" s="30" t="s">
        <v>75</v>
      </c>
      <c r="C35" s="2" t="s">
        <v>13</v>
      </c>
      <c r="D35" s="3">
        <v>9.5</v>
      </c>
      <c r="E35" s="4">
        <v>8.11</v>
      </c>
      <c r="F35" s="5">
        <f>IF(E35="","",E35-D35)</f>
        <v>-1.3900000000000006</v>
      </c>
      <c r="G35" s="6" t="str">
        <f>IF(E35="","",IF(AND(E35&gt;=9,E35&lt;=10),"✓ Yes","✗ No"))</f>
        <v>✗ No</v>
      </c>
      <c r="H35" s="7">
        <v>0.92</v>
      </c>
      <c r="I35" s="8">
        <v>0.99</v>
      </c>
    </row>
    <row r="36" spans="1:9" ht="22.05" customHeight="1" x14ac:dyDescent="0.3">
      <c r="A36" s="28"/>
      <c r="B36" s="28"/>
      <c r="C36" s="9" t="s">
        <v>14</v>
      </c>
      <c r="D36" s="3">
        <v>7.5</v>
      </c>
      <c r="E36" s="4">
        <v>5.92</v>
      </c>
      <c r="F36" s="5">
        <f>IF(E36="","",E36-D36)</f>
        <v>-1.58</v>
      </c>
      <c r="G36" s="6" t="str">
        <f>IF(E36="","",IF(AND(E36&gt;=7,E36&lt;=9),"✓ Yes","✗ No"))</f>
        <v>✗ No</v>
      </c>
      <c r="H36" s="7">
        <v>0.71</v>
      </c>
      <c r="I36" s="8">
        <v>0.99</v>
      </c>
    </row>
    <row r="37" spans="1:9" ht="22.05" customHeight="1" x14ac:dyDescent="0.3">
      <c r="A37" s="28"/>
      <c r="B37" s="28"/>
      <c r="C37" s="10" t="s">
        <v>15</v>
      </c>
      <c r="D37" s="3">
        <v>5.5</v>
      </c>
      <c r="E37" s="4">
        <v>5.19</v>
      </c>
      <c r="F37" s="5">
        <f>IF(E37="","",E37-D37)</f>
        <v>-0.30999999999999961</v>
      </c>
      <c r="G37" s="6" t="str">
        <f>IF(E37="","",IF(AND(E37&gt;=4.5,E37&lt;=7),"✓ Yes","✗ No"))</f>
        <v>✓ Yes</v>
      </c>
      <c r="H37" s="7">
        <v>0.74</v>
      </c>
      <c r="I37" s="8">
        <v>0.81</v>
      </c>
    </row>
    <row r="38" spans="1:9" ht="22.05" customHeight="1" x14ac:dyDescent="0.3">
      <c r="A38" s="28"/>
      <c r="B38" s="28"/>
      <c r="C38" s="11" t="s">
        <v>16</v>
      </c>
      <c r="D38" s="3">
        <v>3.5</v>
      </c>
      <c r="E38" s="4">
        <v>2.52</v>
      </c>
      <c r="F38" s="5">
        <f>IF(E38="","",E38-D38)</f>
        <v>-0.98</v>
      </c>
      <c r="G38" s="6" t="str">
        <f>IF(E38="","",IF(AND(E38&gt;=2.5,E38&lt;=4.5),"✓ Yes","✗ No"))</f>
        <v>✓ Yes</v>
      </c>
      <c r="H38" s="7">
        <v>0.55000000000000004</v>
      </c>
      <c r="I38" s="8">
        <v>0.01</v>
      </c>
    </row>
    <row r="39" spans="1:9" ht="22.05" customHeight="1" x14ac:dyDescent="0.3">
      <c r="A39" s="28"/>
      <c r="B39" s="28"/>
      <c r="C39" s="12" t="s">
        <v>17</v>
      </c>
      <c r="D39" s="3">
        <v>1.5</v>
      </c>
      <c r="E39" s="4">
        <v>3.11</v>
      </c>
      <c r="F39" s="5">
        <f>IF(E39="","",E39-D39)</f>
        <v>1.6099999999999999</v>
      </c>
      <c r="G39" s="6" t="str">
        <f>IF(E39="","",IF(AND(E39&gt;=0,E39&lt;=2.5),"✓ Yes","✗ No"))</f>
        <v>✗ No</v>
      </c>
      <c r="H39" s="7">
        <v>0.66</v>
      </c>
      <c r="I39" s="8">
        <v>0</v>
      </c>
    </row>
    <row r="40" spans="1:9" ht="6" customHeight="1" x14ac:dyDescent="0.3">
      <c r="A40" s="13"/>
      <c r="B40" s="13"/>
      <c r="C40" s="13"/>
      <c r="D40" s="13"/>
      <c r="E40" s="13"/>
      <c r="F40" s="13"/>
      <c r="G40" s="13"/>
      <c r="H40" s="13"/>
      <c r="I40" s="13"/>
    </row>
    <row r="41" spans="1:9" ht="22.05" customHeight="1" x14ac:dyDescent="0.3">
      <c r="A41" s="29" t="s">
        <v>24</v>
      </c>
      <c r="B41" s="30" t="s">
        <v>76</v>
      </c>
      <c r="C41" s="2" t="s">
        <v>13</v>
      </c>
      <c r="D41" s="3">
        <v>9.5</v>
      </c>
      <c r="E41" s="4">
        <v>9.93</v>
      </c>
      <c r="F41" s="5">
        <f>IF(E41="","",E41-D41)</f>
        <v>0.42999999999999972</v>
      </c>
      <c r="G41" s="6" t="str">
        <f>IF(E41="","",IF(AND(E41&gt;=9,E41&lt;=10),"✓ Yes","✗ No"))</f>
        <v>✓ Yes</v>
      </c>
      <c r="H41" s="7">
        <v>0.99</v>
      </c>
      <c r="I41" s="8">
        <v>1</v>
      </c>
    </row>
    <row r="42" spans="1:9" ht="22.05" customHeight="1" x14ac:dyDescent="0.3">
      <c r="A42" s="28"/>
      <c r="B42" s="28"/>
      <c r="C42" s="9" t="s">
        <v>14</v>
      </c>
      <c r="D42" s="3">
        <v>7.5</v>
      </c>
      <c r="E42" s="4">
        <v>7.72</v>
      </c>
      <c r="F42" s="5">
        <f>IF(E42="","",E42-D42)</f>
        <v>0.21999999999999975</v>
      </c>
      <c r="G42" s="6" t="str">
        <f>IF(E42="","",IF(AND(E42&gt;=7,E42&lt;=9),"✓ Yes","✗ No"))</f>
        <v>✓ Yes</v>
      </c>
      <c r="H42" s="7">
        <v>0.86</v>
      </c>
      <c r="I42" s="8">
        <v>1</v>
      </c>
    </row>
    <row r="43" spans="1:9" ht="22.05" customHeight="1" x14ac:dyDescent="0.3">
      <c r="A43" s="28"/>
      <c r="B43" s="28"/>
      <c r="C43" s="10" t="s">
        <v>15</v>
      </c>
      <c r="D43" s="3">
        <v>5.5</v>
      </c>
      <c r="E43" s="4">
        <v>6.21</v>
      </c>
      <c r="F43" s="5">
        <f>IF(E43="","",E43-D43)</f>
        <v>0.71</v>
      </c>
      <c r="G43" s="6" t="str">
        <f>IF(E43="","",IF(AND(E43&gt;=4.5,E43&lt;=7),"✓ Yes","✗ No"))</f>
        <v>✓ Yes</v>
      </c>
      <c r="H43" s="7">
        <v>0.85</v>
      </c>
      <c r="I43" s="8">
        <v>1</v>
      </c>
    </row>
    <row r="44" spans="1:9" ht="22.05" customHeight="1" x14ac:dyDescent="0.3">
      <c r="A44" s="28"/>
      <c r="B44" s="28"/>
      <c r="C44" s="11" t="s">
        <v>16</v>
      </c>
      <c r="D44" s="3">
        <v>3.5</v>
      </c>
      <c r="E44" s="4">
        <v>5.84</v>
      </c>
      <c r="F44" s="5">
        <f>IF(E44="","",E44-D44)</f>
        <v>2.34</v>
      </c>
      <c r="G44" s="6" t="str">
        <f>IF(E44="","",IF(AND(E44&gt;=2.5,E44&lt;=4.5),"✓ Yes","✗ No"))</f>
        <v>✗ No</v>
      </c>
      <c r="H44" s="7">
        <v>0.78</v>
      </c>
      <c r="I44" s="8">
        <v>0.98</v>
      </c>
    </row>
    <row r="45" spans="1:9" ht="22.05" customHeight="1" x14ac:dyDescent="0.3">
      <c r="A45" s="28"/>
      <c r="B45" s="28"/>
      <c r="C45" s="12" t="s">
        <v>17</v>
      </c>
      <c r="D45" s="3">
        <v>1.5</v>
      </c>
      <c r="E45" s="4">
        <v>4.2</v>
      </c>
      <c r="F45" s="5">
        <f>IF(E45="","",E45-D45)</f>
        <v>2.7</v>
      </c>
      <c r="G45" s="6" t="str">
        <f>IF(E45="","",IF(AND(E45&gt;=0,E45&lt;=2.5),"✓ Yes","✗ No"))</f>
        <v>✗ No</v>
      </c>
      <c r="H45" s="7">
        <v>0.79</v>
      </c>
      <c r="I45" s="8">
        <v>0.21</v>
      </c>
    </row>
    <row r="46" spans="1:9" ht="6" customHeight="1" x14ac:dyDescent="0.3">
      <c r="A46" s="13"/>
      <c r="B46" s="13"/>
      <c r="C46" s="13"/>
      <c r="D46" s="13"/>
      <c r="E46" s="13"/>
      <c r="F46" s="13"/>
      <c r="G46" s="13"/>
      <c r="H46" s="13"/>
      <c r="I46" s="13"/>
    </row>
    <row r="47" spans="1:9" ht="22.05" customHeight="1" x14ac:dyDescent="0.3">
      <c r="A47" s="29" t="s">
        <v>25</v>
      </c>
      <c r="B47" s="30" t="s">
        <v>77</v>
      </c>
      <c r="C47" s="2" t="s">
        <v>13</v>
      </c>
      <c r="D47" s="3">
        <v>9.5</v>
      </c>
      <c r="E47" s="4">
        <v>9.77</v>
      </c>
      <c r="F47" s="5">
        <f>IF(E47="","",E47-D47)</f>
        <v>0.26999999999999957</v>
      </c>
      <c r="G47" s="6" t="str">
        <f>IF(E47="","",IF(AND(E47&gt;=9,E47&lt;=10),"✓ Yes","✗ No"))</f>
        <v>✓ Yes</v>
      </c>
      <c r="H47" s="7">
        <v>0.98</v>
      </c>
      <c r="I47" s="8">
        <v>0.94</v>
      </c>
    </row>
    <row r="48" spans="1:9" ht="22.05" customHeight="1" x14ac:dyDescent="0.3">
      <c r="A48" s="28"/>
      <c r="B48" s="28"/>
      <c r="C48" s="9" t="s">
        <v>14</v>
      </c>
      <c r="D48" s="3">
        <v>7.5</v>
      </c>
      <c r="E48" s="4">
        <v>7.14</v>
      </c>
      <c r="F48" s="5">
        <f>IF(E48="","",E48-D48)</f>
        <v>-0.36000000000000032</v>
      </c>
      <c r="G48" s="6" t="str">
        <f>IF(E48="","",IF(AND(E48&gt;=7,E48&lt;=9),"✓ Yes","✗ No"))</f>
        <v>✓ Yes</v>
      </c>
      <c r="H48" s="7">
        <v>0.81</v>
      </c>
      <c r="I48" s="8">
        <v>0.96</v>
      </c>
    </row>
    <row r="49" spans="1:9" ht="22.05" customHeight="1" x14ac:dyDescent="0.3">
      <c r="A49" s="28"/>
      <c r="B49" s="28"/>
      <c r="C49" s="10" t="s">
        <v>15</v>
      </c>
      <c r="D49" s="3">
        <v>5.5</v>
      </c>
      <c r="E49" s="4">
        <v>7.18</v>
      </c>
      <c r="F49" s="5">
        <f>IF(E49="","",E49-D49)</f>
        <v>1.6799999999999997</v>
      </c>
      <c r="G49" s="6" t="str">
        <f>IF(E49="","",IF(AND(E49&gt;=4.5,E49&lt;=7),"✓ Yes","✗ No"))</f>
        <v>✗ No</v>
      </c>
      <c r="H49" s="7">
        <v>0.89</v>
      </c>
      <c r="I49" s="8">
        <v>0.99</v>
      </c>
    </row>
    <row r="50" spans="1:9" ht="22.05" customHeight="1" x14ac:dyDescent="0.3">
      <c r="A50" s="28"/>
      <c r="B50" s="28"/>
      <c r="C50" s="11" t="s">
        <v>16</v>
      </c>
      <c r="D50" s="3">
        <v>3.5</v>
      </c>
      <c r="E50" s="4">
        <v>6.75</v>
      </c>
      <c r="F50" s="5">
        <f>IF(E50="","",E50-D50)</f>
        <v>3.25</v>
      </c>
      <c r="G50" s="6" t="str">
        <f>IF(E50="","",IF(AND(E50&gt;=2.5,E50&lt;=4.5),"✓ Yes","✗ No"))</f>
        <v>✗ No</v>
      </c>
      <c r="H50" s="7">
        <v>0.88</v>
      </c>
      <c r="I50" s="8">
        <v>0.98</v>
      </c>
    </row>
    <row r="51" spans="1:9" ht="22.05" customHeight="1" x14ac:dyDescent="0.3">
      <c r="A51" s="28"/>
      <c r="B51" s="28"/>
      <c r="C51" s="12" t="s">
        <v>17</v>
      </c>
      <c r="D51" s="3">
        <v>1.5</v>
      </c>
      <c r="E51" s="4">
        <v>0.02</v>
      </c>
      <c r="F51" s="5">
        <f>IF(E51="","",E51-D51)</f>
        <v>-1.48</v>
      </c>
      <c r="G51" s="6" t="str">
        <f>IF(E51="","",IF(AND(E51&gt;=0,E51&lt;=2.5),"✓ Yes","✗ No"))</f>
        <v>✓ Yes</v>
      </c>
      <c r="H51" s="7">
        <v>0.81</v>
      </c>
      <c r="I51" s="8">
        <v>0</v>
      </c>
    </row>
    <row r="52" spans="1:9" ht="6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</row>
    <row r="53" spans="1:9" ht="22.05" customHeight="1" x14ac:dyDescent="0.3">
      <c r="A53" s="29" t="s">
        <v>26</v>
      </c>
      <c r="B53" s="30" t="s">
        <v>78</v>
      </c>
      <c r="C53" s="2" t="s">
        <v>13</v>
      </c>
      <c r="D53" s="3">
        <v>9.5</v>
      </c>
      <c r="E53" s="4">
        <v>9.9600000000000009</v>
      </c>
      <c r="F53" s="5">
        <f>IF(E53="","",E53-D53)</f>
        <v>0.46000000000000085</v>
      </c>
      <c r="G53" s="6" t="str">
        <f>IF(E53="","",IF(AND(E53&gt;=9,E53&lt;=10),"✓ Yes","✗ No"))</f>
        <v>✓ Yes</v>
      </c>
      <c r="H53" s="7">
        <v>1</v>
      </c>
      <c r="I53" s="8">
        <v>0.99</v>
      </c>
    </row>
    <row r="54" spans="1:9" ht="22.05" customHeight="1" x14ac:dyDescent="0.3">
      <c r="A54" s="28"/>
      <c r="B54" s="28"/>
      <c r="C54" s="9" t="s">
        <v>14</v>
      </c>
      <c r="D54" s="3">
        <v>7.5</v>
      </c>
      <c r="E54" s="4">
        <v>9.59</v>
      </c>
      <c r="F54" s="5">
        <f>IF(E54="","",E54-D54)</f>
        <v>2.09</v>
      </c>
      <c r="G54" s="6" t="str">
        <f>IF(E54="","",IF(AND(E54&gt;=7,E54&lt;=9),"✓ Yes","✗ No"))</f>
        <v>✗ No</v>
      </c>
      <c r="H54" s="7">
        <v>0.93</v>
      </c>
      <c r="I54" s="8">
        <v>0.99</v>
      </c>
    </row>
    <row r="55" spans="1:9" ht="22.05" customHeight="1" x14ac:dyDescent="0.3">
      <c r="A55" s="28"/>
      <c r="B55" s="28"/>
      <c r="C55" s="10" t="s">
        <v>15</v>
      </c>
      <c r="D55" s="3">
        <v>5.5</v>
      </c>
      <c r="E55" s="4">
        <v>6.51</v>
      </c>
      <c r="F55" s="5">
        <f>IF(E55="","",E55-D55)</f>
        <v>1.0099999999999998</v>
      </c>
      <c r="G55" s="6" t="str">
        <f>IF(E55="","",IF(AND(E55&gt;=4.5,E55&lt;=7),"✓ Yes","✗ No"))</f>
        <v>✓ Yes</v>
      </c>
      <c r="H55" s="7">
        <v>0.78</v>
      </c>
      <c r="I55" s="8">
        <v>0.92</v>
      </c>
    </row>
    <row r="56" spans="1:9" ht="22.05" customHeight="1" x14ac:dyDescent="0.3">
      <c r="A56" s="28"/>
      <c r="B56" s="28"/>
      <c r="C56" s="11" t="s">
        <v>16</v>
      </c>
      <c r="D56" s="3">
        <v>3.5</v>
      </c>
      <c r="E56" s="4">
        <v>4.17</v>
      </c>
      <c r="F56" s="5">
        <f>IF(E56="","",E56-D56)</f>
        <v>0.66999999999999993</v>
      </c>
      <c r="G56" s="6" t="str">
        <f>IF(E56="","",IF(AND(E56&gt;=2.5,E56&lt;=4.5),"✓ Yes","✗ No"))</f>
        <v>✓ Yes</v>
      </c>
      <c r="H56" s="7">
        <v>0.72</v>
      </c>
      <c r="I56" s="8">
        <v>0</v>
      </c>
    </row>
    <row r="57" spans="1:9" ht="22.05" customHeight="1" x14ac:dyDescent="0.3">
      <c r="A57" s="28"/>
      <c r="B57" s="28"/>
      <c r="C57" s="12" t="s">
        <v>17</v>
      </c>
      <c r="D57" s="3">
        <v>1.5</v>
      </c>
      <c r="E57" s="4">
        <v>4.1100000000000003</v>
      </c>
      <c r="F57" s="5">
        <f>IF(E57="","",E57-D57)</f>
        <v>2.6100000000000003</v>
      </c>
      <c r="G57" s="6" t="str">
        <f>IF(E57="","",IF(AND(E57&gt;=0,E57&lt;=2.5),"✓ Yes","✗ No"))</f>
        <v>✗ No</v>
      </c>
      <c r="H57" s="7">
        <v>0.7</v>
      </c>
      <c r="I57" s="8">
        <v>0</v>
      </c>
    </row>
    <row r="58" spans="1:9" ht="6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</row>
    <row r="59" spans="1:9" ht="22.05" customHeight="1" x14ac:dyDescent="0.3">
      <c r="A59" s="29" t="s">
        <v>27</v>
      </c>
      <c r="B59" s="30" t="s">
        <v>79</v>
      </c>
      <c r="C59" s="2" t="s">
        <v>13</v>
      </c>
      <c r="D59" s="3">
        <v>9.5</v>
      </c>
      <c r="E59" s="4">
        <v>9.7899999999999991</v>
      </c>
      <c r="F59" s="5">
        <f>IF(E59="","",E59-D59)</f>
        <v>0.28999999999999915</v>
      </c>
      <c r="G59" s="6" t="str">
        <f>IF(E59="","",IF(AND(E59&gt;=9,E59&lt;=10),"✓ Yes","✗ No"))</f>
        <v>✓ Yes</v>
      </c>
      <c r="H59" s="7">
        <v>0.96</v>
      </c>
      <c r="I59" s="8">
        <v>0.99</v>
      </c>
    </row>
    <row r="60" spans="1:9" ht="22.05" customHeight="1" x14ac:dyDescent="0.3">
      <c r="A60" s="28"/>
      <c r="B60" s="28"/>
      <c r="C60" s="9" t="s">
        <v>14</v>
      </c>
      <c r="D60" s="3">
        <v>7.5</v>
      </c>
      <c r="E60" s="4">
        <v>6.44</v>
      </c>
      <c r="F60" s="5">
        <f>IF(E60="","",E60-D60)</f>
        <v>-1.0599999999999996</v>
      </c>
      <c r="G60" s="6" t="str">
        <f>IF(E60="","",IF(AND(E60&gt;=7,E60&lt;=9),"✓ Yes","✗ No"))</f>
        <v>✗ No</v>
      </c>
      <c r="H60" s="7">
        <v>0.74</v>
      </c>
      <c r="I60" s="8">
        <v>0.97</v>
      </c>
    </row>
    <row r="61" spans="1:9" ht="22.05" customHeight="1" x14ac:dyDescent="0.3">
      <c r="A61" s="28"/>
      <c r="B61" s="28"/>
      <c r="C61" s="10" t="s">
        <v>15</v>
      </c>
      <c r="D61" s="3">
        <v>5.5</v>
      </c>
      <c r="E61" s="4">
        <v>5.26</v>
      </c>
      <c r="F61" s="5">
        <f>IF(E61="","",E61-D61)</f>
        <v>-0.24000000000000021</v>
      </c>
      <c r="G61" s="6" t="str">
        <f>IF(E61="","",IF(AND(E61&gt;=4.5,E61&lt;=7),"✓ Yes","✗ No"))</f>
        <v>✓ Yes</v>
      </c>
      <c r="H61" s="7">
        <v>0.86</v>
      </c>
      <c r="I61" s="8">
        <v>0.17</v>
      </c>
    </row>
    <row r="62" spans="1:9" ht="22.05" customHeight="1" x14ac:dyDescent="0.3">
      <c r="A62" s="28"/>
      <c r="B62" s="28"/>
      <c r="C62" s="11" t="s">
        <v>16</v>
      </c>
      <c r="D62" s="3">
        <v>3.5</v>
      </c>
      <c r="E62" s="4">
        <v>4.63</v>
      </c>
      <c r="F62" s="5">
        <f>IF(E62="","",E62-D62)</f>
        <v>1.1299999999999999</v>
      </c>
      <c r="G62" s="6" t="str">
        <f>IF(E62="","",IF(AND(E62&gt;=2.5,E62&lt;=4.5),"✓ Yes","✗ No"))</f>
        <v>✗ No</v>
      </c>
      <c r="H62" s="7">
        <v>0.8</v>
      </c>
      <c r="I62" s="8">
        <v>0.19</v>
      </c>
    </row>
    <row r="63" spans="1:9" ht="22.05" customHeight="1" x14ac:dyDescent="0.3">
      <c r="A63" s="28"/>
      <c r="B63" s="28"/>
      <c r="C63" s="12" t="s">
        <v>17</v>
      </c>
      <c r="D63" s="3">
        <v>1.5</v>
      </c>
      <c r="E63" s="4">
        <v>3.67</v>
      </c>
      <c r="F63" s="5">
        <f>IF(E63="","",E63-D63)</f>
        <v>2.17</v>
      </c>
      <c r="G63" s="6" t="str">
        <f>IF(E63="","",IF(AND(E63&gt;=0,E63&lt;=2.5),"✓ Yes","✗ No"))</f>
        <v>✗ No</v>
      </c>
      <c r="H63" s="7">
        <v>0.77</v>
      </c>
      <c r="I63" s="8">
        <v>0.01</v>
      </c>
    </row>
    <row r="64" spans="1:9" ht="6" customHeight="1" x14ac:dyDescent="0.3">
      <c r="A64" s="13"/>
      <c r="B64" s="13"/>
      <c r="C64" s="13"/>
      <c r="D64" s="13"/>
      <c r="E64" s="13"/>
      <c r="F64" s="13"/>
      <c r="G64" s="13"/>
      <c r="H64" s="13"/>
      <c r="I64" s="13"/>
    </row>
  </sheetData>
  <mergeCells count="22">
    <mergeCell ref="A59:A63"/>
    <mergeCell ref="B41:B45"/>
    <mergeCell ref="B59:B63"/>
    <mergeCell ref="B35:B39"/>
    <mergeCell ref="B47:B51"/>
    <mergeCell ref="B53:B57"/>
    <mergeCell ref="A47:A51"/>
    <mergeCell ref="A1:I1"/>
    <mergeCell ref="A41:A45"/>
    <mergeCell ref="B23:B27"/>
    <mergeCell ref="A2:I2"/>
    <mergeCell ref="A53:A57"/>
    <mergeCell ref="A29:A33"/>
    <mergeCell ref="A35:A39"/>
    <mergeCell ref="A11:A15"/>
    <mergeCell ref="B17:B21"/>
    <mergeCell ref="B11:B15"/>
    <mergeCell ref="A5:A9"/>
    <mergeCell ref="B29:B33"/>
    <mergeCell ref="A23:A27"/>
    <mergeCell ref="B5:B9"/>
    <mergeCell ref="A17:A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showGridLines="0" tabSelected="1" workbookViewId="0">
      <selection activeCell="A13" sqref="A13:G13"/>
    </sheetView>
  </sheetViews>
  <sheetFormatPr defaultRowHeight="14.4" x14ac:dyDescent="0.3"/>
  <cols>
    <col min="1" max="1" width="20" customWidth="1"/>
    <col min="2" max="3" width="14" customWidth="1"/>
    <col min="4" max="4" width="12" customWidth="1"/>
    <col min="5" max="6" width="10" customWidth="1"/>
    <col min="7" max="7" width="14" customWidth="1"/>
  </cols>
  <sheetData>
    <row r="1" spans="1:7" ht="31.95" customHeight="1" x14ac:dyDescent="0.3">
      <c r="A1" s="36" t="s">
        <v>28</v>
      </c>
      <c r="B1" s="28"/>
      <c r="C1" s="28"/>
      <c r="D1" s="28"/>
      <c r="E1" s="28"/>
      <c r="F1" s="28"/>
      <c r="G1" s="28"/>
    </row>
    <row r="2" spans="1:7" ht="18" customHeight="1" x14ac:dyDescent="0.3">
      <c r="A2" s="34" t="s">
        <v>29</v>
      </c>
      <c r="B2" s="28"/>
      <c r="C2" s="28"/>
      <c r="D2" s="28"/>
      <c r="E2" s="28"/>
      <c r="F2" s="28"/>
      <c r="G2" s="28"/>
    </row>
    <row r="3" spans="1:7" ht="10.050000000000001" customHeight="1" x14ac:dyDescent="0.3"/>
    <row r="4" spans="1:7" ht="22.05" customHeight="1" x14ac:dyDescent="0.3">
      <c r="A4" s="33" t="s">
        <v>30</v>
      </c>
      <c r="B4" s="28"/>
      <c r="C4" s="28"/>
      <c r="D4" s="28"/>
      <c r="E4" s="28"/>
      <c r="F4" s="28"/>
      <c r="G4" s="28"/>
    </row>
    <row r="5" spans="1:7" ht="31.95" customHeight="1" x14ac:dyDescent="0.3">
      <c r="A5" s="14" t="s">
        <v>4</v>
      </c>
      <c r="B5" s="14" t="s">
        <v>31</v>
      </c>
      <c r="C5" s="14" t="s">
        <v>32</v>
      </c>
      <c r="D5" s="14" t="s">
        <v>33</v>
      </c>
      <c r="E5" s="14" t="s">
        <v>34</v>
      </c>
      <c r="F5" s="14" t="s">
        <v>35</v>
      </c>
      <c r="G5" s="14" t="s">
        <v>36</v>
      </c>
    </row>
    <row r="6" spans="1:7" ht="22.05" customHeight="1" x14ac:dyDescent="0.3">
      <c r="A6" s="15" t="s">
        <v>13</v>
      </c>
      <c r="B6" s="3">
        <v>9.5</v>
      </c>
      <c r="C6" s="16">
        <f>IFERROR(AVERAGE('Score Entry'!E5,'Score Entry'!E11,'Score Entry'!E17,'Score Entry'!E23,'Score Entry'!E29,'Score Entry'!E35,'Score Entry'!E41,'Score Entry'!E47,'Score Entry'!E53,'Score Entry'!E59),"Fill scores")</f>
        <v>8.9779999999999998</v>
      </c>
      <c r="D6" s="17">
        <f>IFERROR(STDEV('Score Entry'!E5,'Score Entry'!E11,'Score Entry'!E17,'Score Entry'!E23,'Score Entry'!E29,'Score Entry'!E35,'Score Entry'!E41,'Score Entry'!E47,'Score Entry'!E53,'Score Entry'!E59),"")</f>
        <v>0.94298344512392029</v>
      </c>
      <c r="E6" s="17">
        <f>IFERROR(MIN('Score Entry'!E5,'Score Entry'!E11,'Score Entry'!E17,'Score Entry'!E23,'Score Entry'!E29,'Score Entry'!E35,'Score Entry'!E41,'Score Entry'!E47,'Score Entry'!E53,'Score Entry'!E59),"")</f>
        <v>7.52</v>
      </c>
      <c r="F6" s="17">
        <f>IFERROR(MAX('Score Entry'!E5,'Score Entry'!E11,'Score Entry'!E17,'Score Entry'!E23,'Score Entry'!E29,'Score Entry'!E35,'Score Entry'!E41,'Score Entry'!E47,'Score Entry'!E53,'Score Entry'!E59),"")</f>
        <v>9.9600000000000009</v>
      </c>
      <c r="G6" s="18"/>
    </row>
    <row r="7" spans="1:7" ht="22.05" customHeight="1" x14ac:dyDescent="0.3">
      <c r="A7" s="19" t="s">
        <v>14</v>
      </c>
      <c r="B7" s="3">
        <v>7.5</v>
      </c>
      <c r="C7" s="16">
        <f>IFERROR(AVERAGE('Score Entry'!E6,'Score Entry'!E12,'Score Entry'!E18,'Score Entry'!E24,'Score Entry'!E30,'Score Entry'!E36,'Score Entry'!E42,'Score Entry'!E48,'Score Entry'!E54,'Score Entry'!E60),"Fill scores")</f>
        <v>7.1579999999999995</v>
      </c>
      <c r="D7" s="17">
        <f>IFERROR(STDEV('Score Entry'!E6,'Score Entry'!E12,'Score Entry'!E18,'Score Entry'!E24,'Score Entry'!E30,'Score Entry'!E36,'Score Entry'!E42,'Score Entry'!E48,'Score Entry'!E54,'Score Entry'!E60),"")</f>
        <v>1.0725649423487347</v>
      </c>
      <c r="E7" s="17">
        <f>IFERROR(MIN('Score Entry'!E6,'Score Entry'!E12,'Score Entry'!E18,'Score Entry'!E24,'Score Entry'!E30,'Score Entry'!E36,'Score Entry'!E42,'Score Entry'!E48,'Score Entry'!E54,'Score Entry'!E60),"")</f>
        <v>5.92</v>
      </c>
      <c r="F7" s="17">
        <f>IFERROR(MAX('Score Entry'!E6,'Score Entry'!E12,'Score Entry'!E18,'Score Entry'!E24,'Score Entry'!E30,'Score Entry'!E36,'Score Entry'!E42,'Score Entry'!E48,'Score Entry'!E54,'Score Entry'!E60),"")</f>
        <v>9.59</v>
      </c>
      <c r="G7" s="18"/>
    </row>
    <row r="8" spans="1:7" ht="22.05" customHeight="1" x14ac:dyDescent="0.3">
      <c r="A8" s="20" t="s">
        <v>15</v>
      </c>
      <c r="B8" s="3">
        <v>5.5</v>
      </c>
      <c r="C8" s="16">
        <f>IFERROR(AVERAGE('Score Entry'!E7,'Score Entry'!E13,'Score Entry'!E19,'Score Entry'!E25,'Score Entry'!E31,'Score Entry'!E37,'Score Entry'!E43,'Score Entry'!E49,'Score Entry'!E55,'Score Entry'!E61),"Fill scores")</f>
        <v>5.9359999999999991</v>
      </c>
      <c r="D8" s="17">
        <f>IFERROR(STDEV('Score Entry'!E7,'Score Entry'!E13,'Score Entry'!E19,'Score Entry'!E25,'Score Entry'!E31,'Score Entry'!E37,'Score Entry'!E43,'Score Entry'!E49,'Score Entry'!E55,'Score Entry'!E61),"")</f>
        <v>0.86842385964459734</v>
      </c>
      <c r="E8" s="17">
        <f>IFERROR(MIN('Score Entry'!E7,'Score Entry'!E13,'Score Entry'!E19,'Score Entry'!E25,'Score Entry'!E31,'Score Entry'!E37,'Score Entry'!E43,'Score Entry'!E49,'Score Entry'!E55,'Score Entry'!E61),"")</f>
        <v>4.68</v>
      </c>
      <c r="F8" s="17">
        <f>IFERROR(MAX('Score Entry'!E7,'Score Entry'!E13,'Score Entry'!E19,'Score Entry'!E25,'Score Entry'!E31,'Score Entry'!E37,'Score Entry'!E43,'Score Entry'!E49,'Score Entry'!E55,'Score Entry'!E61),"")</f>
        <v>7.18</v>
      </c>
      <c r="G8" s="18"/>
    </row>
    <row r="9" spans="1:7" ht="22.05" customHeight="1" x14ac:dyDescent="0.3">
      <c r="A9" s="21" t="s">
        <v>16</v>
      </c>
      <c r="B9" s="3">
        <v>3.5</v>
      </c>
      <c r="C9" s="16">
        <f>IFERROR(AVERAGE('Score Entry'!E8,'Score Entry'!E14,'Score Entry'!E20,'Score Entry'!E26,'Score Entry'!E32,'Score Entry'!E38,'Score Entry'!E44,'Score Entry'!E50,'Score Entry'!E56,'Score Entry'!E62),"Fill scores")</f>
        <v>4.4779999999999998</v>
      </c>
      <c r="D9" s="17">
        <f>IFERROR(STDEV('Score Entry'!E8,'Score Entry'!E14,'Score Entry'!E20,'Score Entry'!E26,'Score Entry'!E32,'Score Entry'!E38,'Score Entry'!E44,'Score Entry'!E50,'Score Entry'!E56,'Score Entry'!E62),"")</f>
        <v>1.3846363341245163</v>
      </c>
      <c r="E9" s="17">
        <f>IFERROR(MIN('Score Entry'!E8,'Score Entry'!E14,'Score Entry'!E20,'Score Entry'!E26,'Score Entry'!E32,'Score Entry'!E38,'Score Entry'!E44,'Score Entry'!E50,'Score Entry'!E56,'Score Entry'!E62),"")</f>
        <v>2.52</v>
      </c>
      <c r="F9" s="17">
        <f>IFERROR(MAX('Score Entry'!E8,'Score Entry'!E14,'Score Entry'!E20,'Score Entry'!E26,'Score Entry'!E32,'Score Entry'!E38,'Score Entry'!E44,'Score Entry'!E50,'Score Entry'!E56,'Score Entry'!E62),"")</f>
        <v>6.75</v>
      </c>
      <c r="G9" s="18"/>
    </row>
    <row r="10" spans="1:7" ht="22.05" customHeight="1" x14ac:dyDescent="0.3">
      <c r="A10" s="22" t="s">
        <v>17</v>
      </c>
      <c r="B10" s="3">
        <v>1.5</v>
      </c>
      <c r="C10" s="16">
        <f>IFERROR(AVERAGE('Score Entry'!E9,'Score Entry'!E15,'Score Entry'!E21,'Score Entry'!E27,'Score Entry'!E33,'Score Entry'!E39,'Score Entry'!E45,'Score Entry'!E51,'Score Entry'!E57,'Score Entry'!E63),"Fill scores")</f>
        <v>3.2619999999999996</v>
      </c>
      <c r="D10" s="17">
        <f>IFERROR(STDEV('Score Entry'!E9,'Score Entry'!E15,'Score Entry'!E21,'Score Entry'!E27,'Score Entry'!E33,'Score Entry'!E39,'Score Entry'!E45,'Score Entry'!E51,'Score Entry'!E57,'Score Entry'!E63),"")</f>
        <v>1.2125253720140379</v>
      </c>
      <c r="E10" s="17">
        <f>IFERROR(MIN('Score Entry'!E9,'Score Entry'!E15,'Score Entry'!E21,'Score Entry'!E27,'Score Entry'!E33,'Score Entry'!E39,'Score Entry'!E45,'Score Entry'!E51,'Score Entry'!E57,'Score Entry'!E63),"")</f>
        <v>0.02</v>
      </c>
      <c r="F10" s="17">
        <f>IFERROR(MAX('Score Entry'!E9,'Score Entry'!E15,'Score Entry'!E21,'Score Entry'!E27,'Score Entry'!E33,'Score Entry'!E39,'Score Entry'!E45,'Score Entry'!E51,'Score Entry'!E57,'Score Entry'!E63),"")</f>
        <v>4.2</v>
      </c>
      <c r="G10" s="18"/>
    </row>
    <row r="12" spans="1:7" ht="12" customHeight="1" x14ac:dyDescent="0.3"/>
    <row r="13" spans="1:7" ht="22.05" customHeight="1" x14ac:dyDescent="0.3">
      <c r="A13" s="33" t="s">
        <v>37</v>
      </c>
      <c r="B13" s="28"/>
      <c r="C13" s="28"/>
      <c r="D13" s="28"/>
      <c r="E13" s="28"/>
      <c r="F13" s="28"/>
      <c r="G13" s="28"/>
    </row>
    <row r="14" spans="1:7" ht="18" customHeight="1" x14ac:dyDescent="0.3">
      <c r="A14" s="35" t="s">
        <v>38</v>
      </c>
      <c r="B14" s="28"/>
      <c r="C14" s="28"/>
      <c r="D14" s="28"/>
      <c r="E14" s="28"/>
      <c r="F14" s="28"/>
      <c r="G14" s="28"/>
    </row>
    <row r="15" spans="1:7" ht="19.95" customHeight="1" x14ac:dyDescent="0.3">
      <c r="A15" s="23" t="s">
        <v>39</v>
      </c>
      <c r="B15" s="32" t="s">
        <v>40</v>
      </c>
      <c r="C15" s="28"/>
      <c r="D15" s="28"/>
      <c r="E15" s="28"/>
      <c r="F15" s="28"/>
      <c r="G15" s="28"/>
    </row>
    <row r="16" spans="1:7" ht="19.95" customHeight="1" x14ac:dyDescent="0.3">
      <c r="A16" s="23" t="s">
        <v>41</v>
      </c>
      <c r="B16" s="32" t="s">
        <v>42</v>
      </c>
      <c r="C16" s="28"/>
      <c r="D16" s="28"/>
      <c r="E16" s="28"/>
      <c r="F16" s="28"/>
      <c r="G16" s="28"/>
    </row>
    <row r="17" spans="1:7" ht="19.95" customHeight="1" x14ac:dyDescent="0.3">
      <c r="A17" s="23" t="s">
        <v>43</v>
      </c>
      <c r="B17" s="32" t="s">
        <v>44</v>
      </c>
      <c r="C17" s="28"/>
      <c r="D17" s="28"/>
      <c r="E17" s="28"/>
      <c r="F17" s="28"/>
      <c r="G17" s="28"/>
    </row>
    <row r="18" spans="1:7" ht="19.95" customHeight="1" x14ac:dyDescent="0.3">
      <c r="A18" s="23" t="s">
        <v>45</v>
      </c>
      <c r="B18" s="32" t="s">
        <v>46</v>
      </c>
      <c r="C18" s="28"/>
      <c r="D18" s="28"/>
      <c r="E18" s="28"/>
      <c r="F18" s="28"/>
      <c r="G18" s="28"/>
    </row>
    <row r="19" spans="1:7" ht="19.95" customHeight="1" x14ac:dyDescent="0.3">
      <c r="A19" s="23" t="s">
        <v>47</v>
      </c>
      <c r="B19" s="32" t="s">
        <v>48</v>
      </c>
      <c r="C19" s="28"/>
      <c r="D19" s="28"/>
      <c r="E19" s="28"/>
      <c r="F19" s="28"/>
      <c r="G19" s="28"/>
    </row>
    <row r="20" spans="1:7" ht="19.95" customHeight="1" x14ac:dyDescent="0.3">
      <c r="A20" s="23" t="s">
        <v>49</v>
      </c>
      <c r="B20" s="32" t="s">
        <v>50</v>
      </c>
      <c r="C20" s="28"/>
      <c r="D20" s="28"/>
      <c r="E20" s="28"/>
      <c r="F20" s="28"/>
      <c r="G20" s="28"/>
    </row>
  </sheetData>
  <mergeCells count="11">
    <mergeCell ref="A1:G1"/>
    <mergeCell ref="B20:G20"/>
    <mergeCell ref="B17:G17"/>
    <mergeCell ref="A4:G4"/>
    <mergeCell ref="A2:G2"/>
    <mergeCell ref="B18:G18"/>
    <mergeCell ref="B15:G15"/>
    <mergeCell ref="A13:G13"/>
    <mergeCell ref="A14:G14"/>
    <mergeCell ref="B16:G16"/>
    <mergeCell ref="B19:G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showGridLines="0" workbookViewId="0"/>
  </sheetViews>
  <sheetFormatPr defaultRowHeight="14.4" x14ac:dyDescent="0.3"/>
  <cols>
    <col min="1" max="1" width="10" customWidth="1"/>
    <col min="2" max="2" width="70" customWidth="1"/>
  </cols>
  <sheetData>
    <row r="1" spans="1:2" ht="31.95" customHeight="1" x14ac:dyDescent="0.3">
      <c r="A1" s="36" t="s">
        <v>51</v>
      </c>
      <c r="B1" s="28"/>
    </row>
    <row r="3" spans="1:2" ht="22.05" customHeight="1" x14ac:dyDescent="0.3">
      <c r="A3" s="25" t="s">
        <v>52</v>
      </c>
      <c r="B3" s="24" t="s">
        <v>53</v>
      </c>
    </row>
    <row r="4" spans="1:2" ht="22.05" customHeight="1" x14ac:dyDescent="0.3">
      <c r="A4" s="25" t="s">
        <v>54</v>
      </c>
      <c r="B4" s="24" t="s">
        <v>55</v>
      </c>
    </row>
    <row r="5" spans="1:2" ht="22.05" customHeight="1" x14ac:dyDescent="0.3">
      <c r="A5" s="25" t="s">
        <v>56</v>
      </c>
      <c r="B5" s="24" t="s">
        <v>57</v>
      </c>
    </row>
    <row r="6" spans="1:2" ht="22.05" customHeight="1" x14ac:dyDescent="0.3">
      <c r="A6" s="25" t="s">
        <v>58</v>
      </c>
      <c r="B6" s="24" t="s">
        <v>59</v>
      </c>
    </row>
    <row r="7" spans="1:2" ht="22.05" customHeight="1" x14ac:dyDescent="0.3">
      <c r="A7" s="25" t="s">
        <v>60</v>
      </c>
      <c r="B7" s="24" t="s">
        <v>61</v>
      </c>
    </row>
    <row r="8" spans="1:2" ht="22.05" customHeight="1" x14ac:dyDescent="0.3">
      <c r="A8" s="25" t="s">
        <v>62</v>
      </c>
      <c r="B8" s="24" t="s">
        <v>63</v>
      </c>
    </row>
    <row r="9" spans="1:2" ht="22.05" customHeight="1" x14ac:dyDescent="0.3">
      <c r="A9" s="25" t="s">
        <v>64</v>
      </c>
      <c r="B9" s="24" t="s">
        <v>65</v>
      </c>
    </row>
    <row r="10" spans="1:2" ht="22.05" customHeight="1" x14ac:dyDescent="0.3">
      <c r="A10" s="26"/>
      <c r="B10" s="24"/>
    </row>
    <row r="11" spans="1:2" ht="22.05" customHeight="1" x14ac:dyDescent="0.3">
      <c r="A11" s="26" t="s">
        <v>66</v>
      </c>
      <c r="B11" s="24" t="e">
        <f>AI Score input — MUST fill these (Column E in Score Entry)</f>
        <v>#NAME?</v>
      </c>
    </row>
    <row r="12" spans="1:2" ht="22.05" customHeight="1" x14ac:dyDescent="0.3">
      <c r="A12" s="26" t="s">
        <v>67</v>
      </c>
      <c r="B12" s="24"/>
    </row>
    <row r="13" spans="1:2" ht="22.05" customHeight="1" x14ac:dyDescent="0.3">
      <c r="A13" s="26" t="s">
        <v>68</v>
      </c>
      <c r="B13" s="24"/>
    </row>
    <row r="14" spans="1:2" ht="22.05" customHeight="1" x14ac:dyDescent="0.3">
      <c r="A14" s="26"/>
      <c r="B14" s="24"/>
    </row>
    <row r="15" spans="1:2" ht="22.05" customHeight="1" x14ac:dyDescent="0.3">
      <c r="A15" s="26" t="s">
        <v>69</v>
      </c>
      <c r="B15" s="24" t="s">
        <v>70</v>
      </c>
    </row>
    <row r="16" spans="1:2" ht="22.05" customHeight="1" x14ac:dyDescent="0.3">
      <c r="A16" s="26" t="s">
        <v>69</v>
      </c>
      <c r="B16" s="24" t="s">
        <v>71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 Entry</vt:lpstr>
      <vt:lpstr>Statistics Summary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Manimegala Panju</cp:lastModifiedBy>
  <dcterms:created xsi:type="dcterms:W3CDTF">2026-03-23T09:45:01Z</dcterms:created>
  <dcterms:modified xsi:type="dcterms:W3CDTF">2026-04-03T18:08:45Z</dcterms:modified>
</cp:coreProperties>
</file>